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in\Downloads\"/>
    </mc:Choice>
  </mc:AlternateContent>
  <xr:revisionPtr revIDLastSave="0" documentId="8_{D6028AC1-EE4A-4E70-BDCB-329E6B907767}" xr6:coauthVersionLast="47" xr6:coauthVersionMax="47" xr10:uidLastSave="{00000000-0000-0000-0000-000000000000}"/>
  <bookViews>
    <workbookView xWindow="29580" yWindow="780" windowWidth="21600" windowHeight="11505" xr2:uid="{FFCA5808-E1C7-44E8-9E6B-FF811AB98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7" i="1"/>
  <c r="C6" i="1"/>
  <c r="E6" i="1" s="1"/>
  <c r="E7" i="1"/>
  <c r="C5" i="1"/>
  <c r="C4" i="1"/>
  <c r="C2" i="1"/>
  <c r="E2" i="1" s="1"/>
  <c r="B2" i="1"/>
  <c r="B3" i="1" s="1"/>
  <c r="B4" i="1" s="1"/>
  <c r="B5" i="1" s="1"/>
  <c r="B6" i="1" s="1"/>
  <c r="E5" i="1"/>
  <c r="E4" i="1"/>
  <c r="E3" i="1"/>
  <c r="D2" i="1"/>
  <c r="B7" i="1" l="1"/>
  <c r="B8" i="1" s="1"/>
  <c r="D4" i="1"/>
  <c r="D3" i="1"/>
  <c r="D5" i="1" l="1"/>
  <c r="D6" i="1" l="1"/>
  <c r="D7" i="1" l="1"/>
</calcChain>
</file>

<file path=xl/sharedStrings.xml><?xml version="1.0" encoding="utf-8"?>
<sst xmlns="http://schemas.openxmlformats.org/spreadsheetml/2006/main" count="16" uniqueCount="16">
  <si>
    <t>nvs</t>
  </si>
  <si>
    <t>otadata</t>
  </si>
  <si>
    <t>app0</t>
  </si>
  <si>
    <t>app1</t>
  </si>
  <si>
    <t>spiffs</t>
  </si>
  <si>
    <t>coredump</t>
  </si>
  <si>
    <t>partition</t>
  </si>
  <si>
    <t>offset (hex)</t>
  </si>
  <si>
    <t>size (hex)</t>
  </si>
  <si>
    <t>offset (decimal)</t>
  </si>
  <si>
    <t>size (decimal)</t>
  </si>
  <si>
    <t>(4MB limit)</t>
  </si>
  <si>
    <t>INSTRUCTIONS</t>
  </si>
  <si>
    <t>[1] modify size</t>
  </si>
  <si>
    <t>[2] offsets must be 0x1000 aligned, may not exceed 4MB</t>
  </si>
  <si>
    <t>[3] update offset &amp; size in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</si>
</sst>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30" formatCode="@"/>
      <fill>
        <patternFill>
          <bgColor rgb="FF00B050"/>
        </patternFill>
      </fill>
    </dxf>
    <dxf>
      <numFmt numFmtId="30" formatCode="@"/>
      <fill>
        <patternFill>
          <bgColor rgb="FF00B050"/>
        </patternFill>
      </fill>
    </dxf>
    <dxf>
      <numFmt numFmtId="30" formatCode="@"/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9177-72E8-4209-96D0-E3AD4E2938B1}">
  <dimension ref="A1:E13"/>
  <sheetViews>
    <sheetView tabSelected="1" workbookViewId="0">
      <selection activeCell="D9" sqref="D9"/>
    </sheetView>
  </sheetViews>
  <sheetFormatPr defaultRowHeight="15" x14ac:dyDescent="0.25"/>
  <cols>
    <col min="1" max="1" width="11.7109375" customWidth="1"/>
    <col min="2" max="2" width="16.7109375" customWidth="1"/>
    <col min="3" max="4" width="16.140625" customWidth="1"/>
    <col min="5" max="5" width="14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0</v>
      </c>
      <c r="B2" t="str">
        <f>"9000"</f>
        <v>9000</v>
      </c>
      <c r="C2" s="1" t="str">
        <f>"5000"</f>
        <v>5000</v>
      </c>
      <c r="D2">
        <f>HEX2DEC(B2)</f>
        <v>36864</v>
      </c>
      <c r="E2">
        <f>HEX2DEC(C2)</f>
        <v>20480</v>
      </c>
    </row>
    <row r="3" spans="1:5" x14ac:dyDescent="0.25">
      <c r="A3" t="s">
        <v>1</v>
      </c>
      <c r="B3" t="str">
        <f>DEC2HEX(HEX2DEC(B2)+HEX2DEC(C2))</f>
        <v>E000</v>
      </c>
      <c r="C3" s="1" t="str">
        <f>"2000"</f>
        <v>2000</v>
      </c>
      <c r="D3">
        <f>HEX2DEC(B3)</f>
        <v>57344</v>
      </c>
      <c r="E3">
        <f>HEX2DEC(C3)</f>
        <v>8192</v>
      </c>
    </row>
    <row r="4" spans="1:5" x14ac:dyDescent="0.25">
      <c r="A4" t="s">
        <v>2</v>
      </c>
      <c r="B4" t="str">
        <f t="shared" ref="B4:B8" si="0">DEC2HEX(HEX2DEC(B3)+HEX2DEC(C3))</f>
        <v>10000</v>
      </c>
      <c r="C4" s="1" t="str">
        <f>"1A0000"</f>
        <v>1A0000</v>
      </c>
      <c r="D4">
        <f>HEX2DEC(B4)</f>
        <v>65536</v>
      </c>
      <c r="E4">
        <f>HEX2DEC(C4)</f>
        <v>1703936</v>
      </c>
    </row>
    <row r="5" spans="1:5" x14ac:dyDescent="0.25">
      <c r="A5" t="s">
        <v>3</v>
      </c>
      <c r="B5" t="str">
        <f t="shared" si="0"/>
        <v>1B0000</v>
      </c>
      <c r="C5" s="1" t="str">
        <f>"1A0000"</f>
        <v>1A0000</v>
      </c>
      <c r="D5">
        <f>HEX2DEC(B5)</f>
        <v>1769472</v>
      </c>
      <c r="E5">
        <f>HEX2DEC(C5)</f>
        <v>1703936</v>
      </c>
    </row>
    <row r="6" spans="1:5" x14ac:dyDescent="0.25">
      <c r="A6" t="s">
        <v>4</v>
      </c>
      <c r="B6" t="str">
        <f t="shared" si="0"/>
        <v>350000</v>
      </c>
      <c r="C6" s="1" t="str">
        <f>"A0000"</f>
        <v>A0000</v>
      </c>
      <c r="D6">
        <f>HEX2DEC(B6)</f>
        <v>3473408</v>
      </c>
      <c r="E6">
        <f>HEX2DEC(C6)</f>
        <v>655360</v>
      </c>
    </row>
    <row r="7" spans="1:5" x14ac:dyDescent="0.25">
      <c r="A7" t="s">
        <v>5</v>
      </c>
      <c r="B7" t="str">
        <f t="shared" si="0"/>
        <v>3F0000</v>
      </c>
      <c r="C7" s="1" t="str">
        <f>"10000"</f>
        <v>10000</v>
      </c>
      <c r="D7">
        <f>HEX2DEC(B7)</f>
        <v>4128768</v>
      </c>
      <c r="E7">
        <f>HEX2DEC(C7)</f>
        <v>65536</v>
      </c>
    </row>
    <row r="8" spans="1:5" x14ac:dyDescent="0.25">
      <c r="A8" t="s">
        <v>11</v>
      </c>
      <c r="B8" t="str">
        <f>DEC2HEX(HEX2DEC(B7)+HEX2DEC(C7))</f>
        <v>400000</v>
      </c>
    </row>
    <row r="10" spans="1:5" x14ac:dyDescent="0.25">
      <c r="A10" t="s">
        <v>12</v>
      </c>
    </row>
    <row r="11" spans="1:5" x14ac:dyDescent="0.25">
      <c r="A11" t="s">
        <v>13</v>
      </c>
    </row>
    <row r="12" spans="1:5" x14ac:dyDescent="0.25">
      <c r="A12" t="s">
        <v>14</v>
      </c>
    </row>
    <row r="13" spans="1:5" x14ac:dyDescent="0.25">
      <c r="A13" t="s">
        <v>15</v>
      </c>
    </row>
  </sheetData>
  <conditionalFormatting sqref="B8">
    <cfRule type="expression" dxfId="6" priority="2">
      <formula>IF(HEX2DEC(B8)=HEX2DEC("400000"),TRUE,FALSE)</formula>
    </cfRule>
    <cfRule type="expression" dxfId="5" priority="3">
      <formula>IF(HEX2DEC(B8)&gt;HEX2DEC("400000"),TRUE,FALSE)</formula>
    </cfRule>
    <cfRule type="expression" dxfId="4" priority="5">
      <formula>IF(HEX2DEC(B8)&lt;HEX2DEC("400000"),TRUE,FALSE)</formula>
    </cfRule>
  </conditionalFormatting>
  <conditionalFormatting sqref="B2:B7">
    <cfRule type="expression" dxfId="3" priority="1">
      <formula>MOD(HEX2DEC(B2),HEX2DEC("1000"))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2026-10-21T00:47:25Z</dcterms:created>
  <dcterms:modified xsi:type="dcterms:W3CDTF">2026-10-21T01:28:47Z</dcterms:modified>
</cp:coreProperties>
</file>